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p\Desktop\"/>
    </mc:Choice>
  </mc:AlternateContent>
  <xr:revisionPtr revIDLastSave="0" documentId="8_{A95D0F0B-BCCA-4F0D-BBFB-734BC1003A89}" xr6:coauthVersionLast="47" xr6:coauthVersionMax="47" xr10:uidLastSave="{00000000-0000-0000-0000-000000000000}"/>
  <bookViews>
    <workbookView xWindow="-120" yWindow="-120" windowWidth="29040" windowHeight="15720" tabRatio="906" xr2:uid="{92BD73FA-16C3-4F18-9F07-43B34F203E0B}"/>
  </bookViews>
  <sheets>
    <sheet name="EV, drug and regal ph3" sheetId="1" r:id="rId1"/>
    <sheet name="AML ph2" sheetId="3" r:id="rId2"/>
    <sheet name="OCV-501 in AML" sheetId="5" r:id="rId3"/>
    <sheet name="gps in MPS" sheetId="2" r:id="rId4"/>
    <sheet name="gps in OC" sheetId="4" r:id="rId5"/>
    <sheet name="WT1 peptide vaccine in APDA" sheetId="7" r:id="rId6"/>
    <sheet name="WT1 peptide vaccine in OC" sheetId="8" r:id="rId7"/>
    <sheet name="link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6" i="1" s="1"/>
</calcChain>
</file>

<file path=xl/sharedStrings.xml><?xml version="1.0" encoding="utf-8"?>
<sst xmlns="http://schemas.openxmlformats.org/spreadsheetml/2006/main" count="101" uniqueCount="86">
  <si>
    <t>drug</t>
  </si>
  <si>
    <t>galinpepimut-S (GPS)</t>
  </si>
  <si>
    <t>moa</t>
  </si>
  <si>
    <t>WT-1 peptide cancer vaccine</t>
  </si>
  <si>
    <t>indication</t>
  </si>
  <si>
    <t>acute myeloid leukemia (AML)</t>
  </si>
  <si>
    <t>Sellas Life Sciences</t>
  </si>
  <si>
    <t>Price</t>
  </si>
  <si>
    <t>Shares</t>
  </si>
  <si>
    <t>MC</t>
  </si>
  <si>
    <t>Cash</t>
  </si>
  <si>
    <t>Debt</t>
  </si>
  <si>
    <t>EV</t>
  </si>
  <si>
    <t>q2</t>
  </si>
  <si>
    <t>licensed gps from memorial sloan kettering cancer center</t>
  </si>
  <si>
    <t>https://pmc.ncbi.nlm.nih.gov/articles/PMC5732877/</t>
  </si>
  <si>
    <t>NCT01265433</t>
  </si>
  <si>
    <t xml:space="preserve">n=41,  </t>
  </si>
  <si>
    <t>Montanide + GM-CSF, n=20</t>
  </si>
  <si>
    <t>GPS + Montanide + GM-CSF, n=21</t>
  </si>
  <si>
    <t>treatment arm</t>
  </si>
  <si>
    <t>control arm</t>
  </si>
  <si>
    <t>study stopped for futility</t>
  </si>
  <si>
    <t>MPS</t>
  </si>
  <si>
    <t>AML</t>
  </si>
  <si>
    <t>https://ashpublications.org/bloodadvances/article/2/3/224/15779/Phase-2-trial-of-a-multivalent-WT1-peptide-vaccine</t>
  </si>
  <si>
    <t>n=22</t>
  </si>
  <si>
    <t>treatment</t>
  </si>
  <si>
    <t>GPS+GM-CSF+Montanide</t>
  </si>
  <si>
    <t>15 patients relapsed (10 while receiving vaccine)</t>
  </si>
  <si>
    <t>4 of the 15 relpased after 1 vaccination</t>
  </si>
  <si>
    <t>10 out of 22 patients died from leukemia</t>
  </si>
  <si>
    <t xml:space="preserve">4 after 12 vaccinations </t>
  </si>
  <si>
    <r>
      <t xml:space="preserve">neither PFS or ORR reached, </t>
    </r>
    <r>
      <rPr>
        <b/>
        <u/>
        <sz val="11"/>
        <color theme="1"/>
        <rFont val="Aptos Narrow"/>
        <family val="2"/>
        <scheme val="minor"/>
      </rPr>
      <t>p= 💀💀</t>
    </r>
  </si>
  <si>
    <t>NCT01266083</t>
  </si>
  <si>
    <t>2017 , 2018</t>
  </si>
  <si>
    <t xml:space="preserve"> 6 vaccinations subcut biweekly over 10 wks</t>
  </si>
  <si>
    <t>multivalent synthetic peptide</t>
  </si>
  <si>
    <t>NCT03761914</t>
  </si>
  <si>
    <t>ovarian cancer</t>
  </si>
  <si>
    <t>ph2 RCT of GPS IN MPS</t>
  </si>
  <si>
    <t xml:space="preserve">ph 1/2 OLE </t>
  </si>
  <si>
    <t>n=25</t>
  </si>
  <si>
    <t>https://pmc.ncbi.nlm.nih.gov/articles/PMC10001251/</t>
  </si>
  <si>
    <t>GPS + Montanide + GM-CSF+ nivo</t>
  </si>
  <si>
    <t>11 patients evaluated</t>
  </si>
  <si>
    <t>median PFS 12.9m</t>
  </si>
  <si>
    <t>1 yr PFS rate in ITT 64%</t>
  </si>
  <si>
    <t>NCT01961882</t>
  </si>
  <si>
    <t>ph2 RCT of OCV-501 in AML</t>
  </si>
  <si>
    <t>n=134</t>
  </si>
  <si>
    <t>OCV-501, n=69</t>
  </si>
  <si>
    <t>placebo, n=65</t>
  </si>
  <si>
    <t xml:space="preserve">OCV-501 </t>
  </si>
  <si>
    <t>same mechanism, different peptide structure</t>
  </si>
  <si>
    <t xml:space="preserve">ocv single peptide, GPS multi peptide </t>
  </si>
  <si>
    <t>NCT04229979</t>
  </si>
  <si>
    <t>GPS injection every 2 weeks for 6 administrations</t>
  </si>
  <si>
    <t>followed by no treatment, and then resumption of treatment</t>
  </si>
  <si>
    <t>72/80 events as of dec25, final analysis at 80 events</t>
  </si>
  <si>
    <t>A:dfs from cr</t>
  </si>
  <si>
    <t>C:EFS from first vaccination</t>
  </si>
  <si>
    <t>D:OS from first vaccination</t>
  </si>
  <si>
    <t>B: OS from time of diagnosis</t>
  </si>
  <si>
    <r>
      <t xml:space="preserve">PFS = 12.1m (TA) vs 8.4m (CA), </t>
    </r>
    <r>
      <rPr>
        <b/>
        <u/>
        <sz val="11"/>
        <color theme="1"/>
        <rFont val="Aptos Narrow"/>
        <family val="2"/>
        <scheme val="minor"/>
      </rPr>
      <t>p=0.767</t>
    </r>
  </si>
  <si>
    <r>
      <t xml:space="preserve">ORR= 38.5m (TA) vs 31.0m (CA) </t>
    </r>
    <r>
      <rPr>
        <b/>
        <u/>
        <sz val="11"/>
        <color theme="1"/>
        <rFont val="Aptos Narrow"/>
        <family val="2"/>
        <scheme val="minor"/>
      </rPr>
      <t>p=0.854</t>
    </r>
  </si>
  <si>
    <r>
      <t xml:space="preserve">Median PFS= 7.4m (CA) vs 10.5m (TA), </t>
    </r>
    <r>
      <rPr>
        <b/>
        <u/>
        <sz val="11"/>
        <color theme="1"/>
        <rFont val="Aptos Narrow"/>
        <family val="2"/>
        <scheme val="minor"/>
      </rPr>
      <t>p=0.45</t>
    </r>
  </si>
  <si>
    <r>
      <t xml:space="preserve">Median OS= 18.3m (CA) vs 22.8m (TA), </t>
    </r>
    <r>
      <rPr>
        <b/>
        <u/>
        <sz val="11"/>
        <color theme="1"/>
        <rFont val="Aptos Narrow"/>
        <family val="2"/>
        <scheme val="minor"/>
      </rPr>
      <t>p=0.54</t>
    </r>
  </si>
  <si>
    <t>https://pmc.ncbi.nlm.nih.gov/articles/PMC10760787/</t>
  </si>
  <si>
    <t>https://pubmed.ncbi.nlm.nih.gov/39606837/</t>
  </si>
  <si>
    <t>https://clinicaltrials.gov/study/NCT04229979?cond=Acute%20Myeloid%20Leukemia&amp;intr=Galinpepimut-S&amp;viewType=Card&amp;rank=3</t>
  </si>
  <si>
    <t>n=127, 1:1 GPS or BAT (bat=Azacitidine, Venetoclax, Decitabine, Cytarabine)</t>
  </si>
  <si>
    <t>ph3 REGAL OL comparator study</t>
  </si>
  <si>
    <t>https://aacrjournals.org/cancerimmunolres/article/6/3/320/468887/Combination-Gemcitabine-and-WT1-Peptide?guestAccessKey=</t>
  </si>
  <si>
    <t xml:space="preserve">regal ph2 OLE study in AML </t>
  </si>
  <si>
    <t>pancreatic cancer</t>
  </si>
  <si>
    <t>UMIN000005248</t>
  </si>
  <si>
    <t>randomized comparator ph2 OL</t>
  </si>
  <si>
    <t>n=85</t>
  </si>
  <si>
    <t>GEMWET1, n=42</t>
  </si>
  <si>
    <t>GEM, n=43</t>
  </si>
  <si>
    <r>
      <t xml:space="preserve">PFS=median 5.2m vs 3.3m, 35.7% (TA) vs 20.9% (CA), </t>
    </r>
    <r>
      <rPr>
        <b/>
        <u/>
        <sz val="11"/>
        <color theme="1"/>
        <rFont val="Aptos Narrow"/>
        <family val="2"/>
        <scheme val="minor"/>
      </rPr>
      <t>p=0.08</t>
    </r>
  </si>
  <si>
    <t>single peptide targeting WT1</t>
  </si>
  <si>
    <t>both targeting WT1</t>
  </si>
  <si>
    <r>
      <t xml:space="preserve">ORR=median 9.6m (TA) vs 8.9m (CA),  HR 0.82, </t>
    </r>
    <r>
      <rPr>
        <b/>
        <u/>
        <sz val="11"/>
        <color theme="1"/>
        <rFont val="Aptos Narrow"/>
        <family val="2"/>
        <scheme val="minor"/>
      </rPr>
      <t>p=0.36</t>
    </r>
  </si>
  <si>
    <t>https://pubmed.ncbi.nlm.nih.gov/34874330/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</si>
</sst>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3" fontId="0" fillId="0" borderId="0" xfId="0" applyNumberFormat="1"/>
    <xf numFmtId="0" fontId="3" fillId="2" borderId="0" xfId="2"/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2</xdr:row>
      <xdr:rowOff>19049</xdr:rowOff>
    </xdr:from>
    <xdr:to>
      <xdr:col>12</xdr:col>
      <xdr:colOff>171450</xdr:colOff>
      <xdr:row>23</xdr:row>
      <xdr:rowOff>114262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A4B97D-94D8-EDE6-FAB2-A4E4A0ADE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0" y="400049"/>
          <a:ext cx="5600700" cy="40957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0</xdr:row>
      <xdr:rowOff>85725</xdr:rowOff>
    </xdr:from>
    <xdr:to>
      <xdr:col>11</xdr:col>
      <xdr:colOff>352424</xdr:colOff>
      <xdr:row>38</xdr:row>
      <xdr:rowOff>172510</xdr:rowOff>
    </xdr:to>
    <xdr:pic>
      <xdr:nvPicPr>
        <xdr:cNvPr id="4" name="Picture 3" descr="Fig. 3">
          <a:extLst>
            <a:ext uri="{FF2B5EF4-FFF2-40B4-BE49-F238E27FC236}">
              <a16:creationId xmlns:a16="http://schemas.microsoft.com/office/drawing/2014/main" id="{513F19C6-B62F-C77B-74B8-7519829F8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5725"/>
          <a:ext cx="5067299" cy="732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409575</xdr:colOff>
      <xdr:row>1</xdr:row>
      <xdr:rowOff>38100</xdr:rowOff>
    </xdr:from>
    <xdr:to>
      <xdr:col>10</xdr:col>
      <xdr:colOff>390525</xdr:colOff>
      <xdr:row>18</xdr:row>
      <xdr:rowOff>74295</xdr:rowOff>
    </xdr:to>
    <xdr:pic>
      <xdr:nvPicPr>
        <xdr:cNvPr id="2" name="Picture 1" descr="Figure 2">
          <a:extLst>
            <a:ext uri="{FF2B5EF4-FFF2-40B4-BE49-F238E27FC236}">
              <a16:creationId xmlns:a16="http://schemas.microsoft.com/office/drawing/2014/main" id="{5D7052F1-7622-546B-D4B9-9AFB6D709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28600"/>
          <a:ext cx="3638550" cy="3274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19</xdr:row>
      <xdr:rowOff>114300</xdr:rowOff>
    </xdr:from>
    <xdr:to>
      <xdr:col>11</xdr:col>
      <xdr:colOff>228</xdr:colOff>
      <xdr:row>37</xdr:row>
      <xdr:rowOff>5024</xdr:rowOff>
    </xdr:to>
    <xdr:pic>
      <xdr:nvPicPr>
        <xdr:cNvPr id="3" name="Picture 2" descr="Figure 3">
          <a:extLst>
            <a:ext uri="{FF2B5EF4-FFF2-40B4-BE49-F238E27FC236}">
              <a16:creationId xmlns:a16="http://schemas.microsoft.com/office/drawing/2014/main" id="{73C12506-1887-8AC7-E26E-DE44C33DA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3733800"/>
          <a:ext cx="3981678" cy="3319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1</xdr:row>
      <xdr:rowOff>123825</xdr:rowOff>
    </xdr:from>
    <xdr:to>
      <xdr:col>12</xdr:col>
      <xdr:colOff>200025</xdr:colOff>
      <xdr:row>15</xdr:row>
      <xdr:rowOff>159389</xdr:rowOff>
    </xdr:to>
    <xdr:pic>
      <xdr:nvPicPr>
        <xdr:cNvPr id="2" name="Picture 1" descr="Figure 4">
          <a:extLst>
            <a:ext uri="{FF2B5EF4-FFF2-40B4-BE49-F238E27FC236}">
              <a16:creationId xmlns:a16="http://schemas.microsoft.com/office/drawing/2014/main" id="{4FF2FC3D-10D4-A14C-E9FA-5BDDFDB4E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314325"/>
          <a:ext cx="4895850" cy="2702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298751</xdr:colOff>
      <xdr:row>0</xdr:row>
      <xdr:rowOff>170558</xdr:rowOff>
    </xdr:from>
    <xdr:to>
      <xdr:col>12</xdr:col>
      <xdr:colOff>323850</xdr:colOff>
      <xdr:row>37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2DF355-407D-885A-2725-D2D31F931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2751" y="170558"/>
          <a:ext cx="5511499" cy="69160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shpublications.org/bloodadvances/article/2/3/224/15779/Phase-2-trial-of-a-multivalent-WT1-peptide-vaccin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mc.ncbi.nlm.nih.gov/articles/PMC5732877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mc.ncbi.nlm.nih.gov/articles/PMC5732877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pmc.ncbi.nlm.nih.gov/articles/PMC10001251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aacrjournals.org/cancerimmunolres/article/6/3/320/468887/Combination-Gemcitabine-and-WT1-Peptide?guestAccessKey=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874330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4229979?cond=Acute%20Myeloid%20Leukemia&amp;intr=Galinpepimut-S&amp;viewType=Card&amp;rank=3" TargetMode="External"/><Relationship Id="rId2" Type="http://schemas.openxmlformats.org/officeDocument/2006/relationships/hyperlink" Target="https://pubmed.ncbi.nlm.nih.gov/39606837/" TargetMode="External"/><Relationship Id="rId1" Type="http://schemas.openxmlformats.org/officeDocument/2006/relationships/hyperlink" Target="https://pmc.ncbi.nlm.nih.gov/articles/PMC107607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B237-9842-495E-8D88-34A8A2ABA2E4}">
  <dimension ref="A1:J22"/>
  <sheetViews>
    <sheetView tabSelected="1" workbookViewId="0">
      <selection activeCell="G10" sqref="G10"/>
    </sheetView>
  </sheetViews>
  <sheetFormatPr defaultRowHeight="15" x14ac:dyDescent="0.25"/>
  <cols>
    <col min="1" max="1" width="10" bestFit="1" customWidth="1"/>
    <col min="2" max="2" width="27.85546875" bestFit="1" customWidth="1"/>
    <col min="4" max="4" width="67.7109375" bestFit="1" customWidth="1"/>
    <col min="7" max="7" width="18.140625" bestFit="1" customWidth="1"/>
  </cols>
  <sheetData>
    <row r="1" spans="1:10" x14ac:dyDescent="0.25">
      <c r="G1" t="s">
        <v>6</v>
      </c>
      <c r="H1" t="s">
        <v>7</v>
      </c>
      <c r="I1">
        <v>4.8600000000000003</v>
      </c>
      <c r="J1" t="s">
        <v>14</v>
      </c>
    </row>
    <row r="2" spans="1:10" x14ac:dyDescent="0.25">
      <c r="A2" t="s">
        <v>0</v>
      </c>
      <c r="B2" t="s">
        <v>1</v>
      </c>
      <c r="H2" t="s">
        <v>8</v>
      </c>
      <c r="I2">
        <v>179.58</v>
      </c>
    </row>
    <row r="3" spans="1:10" x14ac:dyDescent="0.25">
      <c r="A3" t="s">
        <v>2</v>
      </c>
      <c r="B3" t="s">
        <v>3</v>
      </c>
      <c r="H3" t="s">
        <v>9</v>
      </c>
      <c r="I3">
        <f>(I1*I2)</f>
        <v>872.75880000000006</v>
      </c>
    </row>
    <row r="4" spans="1:10" x14ac:dyDescent="0.25">
      <c r="A4" t="s">
        <v>4</v>
      </c>
      <c r="B4" t="s">
        <v>5</v>
      </c>
      <c r="H4" t="s">
        <v>10</v>
      </c>
      <c r="I4">
        <v>44.3</v>
      </c>
    </row>
    <row r="5" spans="1:10" x14ac:dyDescent="0.25">
      <c r="H5" t="s">
        <v>11</v>
      </c>
      <c r="I5">
        <v>0</v>
      </c>
    </row>
    <row r="6" spans="1:10" x14ac:dyDescent="0.25">
      <c r="B6" t="s">
        <v>37</v>
      </c>
      <c r="H6" t="s">
        <v>12</v>
      </c>
      <c r="I6">
        <f>(I3-I4+I5)</f>
        <v>828.45880000000011</v>
      </c>
    </row>
    <row r="7" spans="1:10" x14ac:dyDescent="0.25">
      <c r="H7" t="s">
        <v>13</v>
      </c>
    </row>
    <row r="15" spans="1:10" x14ac:dyDescent="0.25">
      <c r="D15" t="s">
        <v>56</v>
      </c>
    </row>
    <row r="16" spans="1:10" x14ac:dyDescent="0.25">
      <c r="D16" s="1" t="s">
        <v>72</v>
      </c>
    </row>
    <row r="17" spans="4:4" x14ac:dyDescent="0.25">
      <c r="D17" t="s">
        <v>71</v>
      </c>
    </row>
    <row r="18" spans="4:4" x14ac:dyDescent="0.25">
      <c r="D18" t="s">
        <v>57</v>
      </c>
    </row>
    <row r="19" spans="4:4" x14ac:dyDescent="0.25">
      <c r="D19" t="s">
        <v>58</v>
      </c>
    </row>
    <row r="22" spans="4:4" x14ac:dyDescent="0.25">
      <c r="D2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2580-46FB-49A4-AC08-53DC4C3566DD}">
  <dimension ref="A2:O30"/>
  <sheetViews>
    <sheetView workbookViewId="0">
      <selection activeCell="C17" sqref="C17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44.28515625" bestFit="1" customWidth="1"/>
  </cols>
  <sheetData>
    <row r="2" spans="1:14" x14ac:dyDescent="0.25">
      <c r="A2" t="s">
        <v>4</v>
      </c>
      <c r="B2" t="s">
        <v>24</v>
      </c>
      <c r="C2" t="s">
        <v>34</v>
      </c>
      <c r="E2">
        <v>2018</v>
      </c>
    </row>
    <row r="3" spans="1:14" x14ac:dyDescent="0.25">
      <c r="C3" s="1" t="s">
        <v>74</v>
      </c>
    </row>
    <row r="4" spans="1:14" x14ac:dyDescent="0.25">
      <c r="C4" t="s">
        <v>26</v>
      </c>
    </row>
    <row r="5" spans="1:14" x14ac:dyDescent="0.25">
      <c r="B5" t="s">
        <v>27</v>
      </c>
      <c r="C5" t="s">
        <v>28</v>
      </c>
    </row>
    <row r="6" spans="1:14" x14ac:dyDescent="0.25">
      <c r="C6" t="s">
        <v>36</v>
      </c>
    </row>
    <row r="7" spans="1:14" x14ac:dyDescent="0.25">
      <c r="C7" t="s">
        <v>29</v>
      </c>
    </row>
    <row r="8" spans="1:14" x14ac:dyDescent="0.25">
      <c r="C8" t="s">
        <v>32</v>
      </c>
    </row>
    <row r="9" spans="1:14" x14ac:dyDescent="0.25">
      <c r="C9" t="s">
        <v>30</v>
      </c>
      <c r="N9" s="2" t="s">
        <v>25</v>
      </c>
    </row>
    <row r="10" spans="1:14" x14ac:dyDescent="0.25">
      <c r="C10" t="s">
        <v>31</v>
      </c>
    </row>
    <row r="11" spans="1:14" x14ac:dyDescent="0.25">
      <c r="C11" t="s">
        <v>33</v>
      </c>
    </row>
    <row r="23" spans="4:15" x14ac:dyDescent="0.25">
      <c r="O23" s="4"/>
    </row>
    <row r="27" spans="4:15" x14ac:dyDescent="0.25">
      <c r="D27" t="s">
        <v>60</v>
      </c>
    </row>
    <row r="28" spans="4:15" x14ac:dyDescent="0.25">
      <c r="D28" t="s">
        <v>63</v>
      </c>
    </row>
    <row r="29" spans="4:15" x14ac:dyDescent="0.25">
      <c r="D29" t="s">
        <v>61</v>
      </c>
    </row>
    <row r="30" spans="4:15" x14ac:dyDescent="0.25">
      <c r="D30" t="s">
        <v>62</v>
      </c>
    </row>
  </sheetData>
  <hyperlinks>
    <hyperlink ref="N9" r:id="rId1" xr:uid="{2F259C01-7420-4E53-BA1B-5E047A43B46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3EE2-0DAF-46B1-905F-BF37E207321A}">
  <dimension ref="A2:N18"/>
  <sheetViews>
    <sheetView workbookViewId="0">
      <selection activeCell="C19" sqref="C19"/>
    </sheetView>
  </sheetViews>
  <sheetFormatPr defaultRowHeight="15" x14ac:dyDescent="0.25"/>
  <cols>
    <col min="1" max="1" width="10" bestFit="1" customWidth="1"/>
    <col min="2" max="2" width="13.5703125" bestFit="1" customWidth="1"/>
    <col min="3" max="3" width="41.28515625" customWidth="1"/>
  </cols>
  <sheetData>
    <row r="2" spans="1:14" x14ac:dyDescent="0.25">
      <c r="A2" t="s">
        <v>4</v>
      </c>
      <c r="B2" t="s">
        <v>24</v>
      </c>
      <c r="C2" t="s">
        <v>48</v>
      </c>
    </row>
    <row r="3" spans="1:14" x14ac:dyDescent="0.25">
      <c r="C3" s="1" t="s">
        <v>49</v>
      </c>
    </row>
    <row r="4" spans="1:14" x14ac:dyDescent="0.25">
      <c r="C4" t="s">
        <v>50</v>
      </c>
    </row>
    <row r="5" spans="1:14" x14ac:dyDescent="0.25">
      <c r="B5" t="s">
        <v>20</v>
      </c>
      <c r="C5" t="s">
        <v>51</v>
      </c>
    </row>
    <row r="6" spans="1:14" x14ac:dyDescent="0.25">
      <c r="B6" t="s">
        <v>21</v>
      </c>
      <c r="C6" t="s">
        <v>52</v>
      </c>
    </row>
    <row r="7" spans="1:14" x14ac:dyDescent="0.25">
      <c r="C7" t="s">
        <v>64</v>
      </c>
    </row>
    <row r="8" spans="1:14" x14ac:dyDescent="0.25">
      <c r="C8" t="s">
        <v>65</v>
      </c>
    </row>
    <row r="9" spans="1:14" x14ac:dyDescent="0.25">
      <c r="N9" s="2" t="s">
        <v>15</v>
      </c>
    </row>
    <row r="16" spans="1:14" x14ac:dyDescent="0.25">
      <c r="A16" t="s">
        <v>0</v>
      </c>
      <c r="B16" t="s">
        <v>53</v>
      </c>
      <c r="C16" t="s">
        <v>54</v>
      </c>
    </row>
    <row r="17" spans="3:3" x14ac:dyDescent="0.25">
      <c r="C17" t="s">
        <v>55</v>
      </c>
    </row>
    <row r="18" spans="3:3" x14ac:dyDescent="0.25">
      <c r="C18" t="s">
        <v>83</v>
      </c>
    </row>
  </sheetData>
  <hyperlinks>
    <hyperlink ref="N9" r:id="rId1" xr:uid="{1A19473B-ABB7-41D2-B936-1BE43D29FD9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5332-BF9F-48F7-A985-07C48A9A75DA}">
  <dimension ref="A2:U16"/>
  <sheetViews>
    <sheetView workbookViewId="0">
      <selection activeCell="C14" sqref="C14"/>
    </sheetView>
  </sheetViews>
  <sheetFormatPr defaultRowHeight="15" x14ac:dyDescent="0.25"/>
  <cols>
    <col min="1" max="1" width="10" bestFit="1" customWidth="1"/>
    <col min="2" max="2" width="13.5703125" bestFit="1" customWidth="1"/>
    <col min="3" max="3" width="40.7109375" bestFit="1" customWidth="1"/>
    <col min="13" max="13" width="10.140625" bestFit="1" customWidth="1"/>
  </cols>
  <sheetData>
    <row r="2" spans="1:21" x14ac:dyDescent="0.25">
      <c r="A2" t="s">
        <v>4</v>
      </c>
      <c r="B2" t="s">
        <v>23</v>
      </c>
      <c r="C2" t="s">
        <v>16</v>
      </c>
      <c r="M2" s="3" t="s">
        <v>35</v>
      </c>
    </row>
    <row r="3" spans="1:21" x14ac:dyDescent="0.25">
      <c r="C3" s="1" t="s">
        <v>40</v>
      </c>
    </row>
    <row r="4" spans="1:21" x14ac:dyDescent="0.25">
      <c r="C4" t="s">
        <v>17</v>
      </c>
    </row>
    <row r="5" spans="1:21" x14ac:dyDescent="0.25">
      <c r="B5" t="s">
        <v>21</v>
      </c>
      <c r="C5" t="s">
        <v>18</v>
      </c>
    </row>
    <row r="6" spans="1:21" x14ac:dyDescent="0.25">
      <c r="B6" t="s">
        <v>20</v>
      </c>
      <c r="C6" t="s">
        <v>19</v>
      </c>
    </row>
    <row r="7" spans="1:21" x14ac:dyDescent="0.25">
      <c r="C7" t="s">
        <v>66</v>
      </c>
    </row>
    <row r="8" spans="1:21" x14ac:dyDescent="0.25">
      <c r="C8" t="s">
        <v>67</v>
      </c>
    </row>
    <row r="9" spans="1:21" x14ac:dyDescent="0.25">
      <c r="N9" s="2" t="s">
        <v>15</v>
      </c>
    </row>
    <row r="10" spans="1:21" x14ac:dyDescent="0.25">
      <c r="C10" t="s">
        <v>22</v>
      </c>
    </row>
    <row r="16" spans="1:21" x14ac:dyDescent="0.25">
      <c r="U16" s="2"/>
    </row>
  </sheetData>
  <hyperlinks>
    <hyperlink ref="N9" r:id="rId1" xr:uid="{54287D1A-669E-45BD-BA7B-8F2659784AFA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3737-045F-4179-BE28-E6FF74568C6D}">
  <dimension ref="A2:N9"/>
  <sheetViews>
    <sheetView workbookViewId="0">
      <selection activeCell="H23" sqref="H23"/>
    </sheetView>
  </sheetViews>
  <sheetFormatPr defaultRowHeight="15" x14ac:dyDescent="0.25"/>
  <cols>
    <col min="2" max="2" width="14.28515625" bestFit="1" customWidth="1"/>
    <col min="3" max="3" width="30.140625" bestFit="1" customWidth="1"/>
  </cols>
  <sheetData>
    <row r="2" spans="1:14" x14ac:dyDescent="0.25">
      <c r="A2" t="s">
        <v>4</v>
      </c>
      <c r="B2" t="s">
        <v>39</v>
      </c>
      <c r="C2" t="s">
        <v>38</v>
      </c>
    </row>
    <row r="3" spans="1:14" x14ac:dyDescent="0.25">
      <c r="C3" s="1" t="s">
        <v>41</v>
      </c>
    </row>
    <row r="4" spans="1:14" x14ac:dyDescent="0.25">
      <c r="C4" t="s">
        <v>42</v>
      </c>
    </row>
    <row r="5" spans="1:14" x14ac:dyDescent="0.25">
      <c r="B5" t="s">
        <v>20</v>
      </c>
      <c r="C5" t="s">
        <v>44</v>
      </c>
    </row>
    <row r="6" spans="1:14" x14ac:dyDescent="0.25">
      <c r="C6" t="s">
        <v>45</v>
      </c>
    </row>
    <row r="7" spans="1:14" x14ac:dyDescent="0.25">
      <c r="C7" t="s">
        <v>47</v>
      </c>
    </row>
    <row r="8" spans="1:14" x14ac:dyDescent="0.25">
      <c r="C8" t="s">
        <v>46</v>
      </c>
    </row>
    <row r="9" spans="1:14" x14ac:dyDescent="0.25">
      <c r="N9" s="2" t="s">
        <v>43</v>
      </c>
    </row>
  </sheetData>
  <hyperlinks>
    <hyperlink ref="N9" r:id="rId1" xr:uid="{16A53C0F-6202-4A12-AAF8-5BF0D3117893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D118-F703-41CC-826E-E007210129D4}">
  <dimension ref="A2:N12"/>
  <sheetViews>
    <sheetView workbookViewId="0">
      <selection activeCell="C17" sqref="C17"/>
    </sheetView>
  </sheetViews>
  <sheetFormatPr defaultRowHeight="15" x14ac:dyDescent="0.25"/>
  <cols>
    <col min="2" max="2" width="17" bestFit="1" customWidth="1"/>
    <col min="3" max="3" width="53.85546875" bestFit="1" customWidth="1"/>
  </cols>
  <sheetData>
    <row r="2" spans="1:14" x14ac:dyDescent="0.25">
      <c r="A2" t="s">
        <v>4</v>
      </c>
      <c r="B2" t="s">
        <v>75</v>
      </c>
      <c r="C2" t="s">
        <v>76</v>
      </c>
    </row>
    <row r="3" spans="1:14" x14ac:dyDescent="0.25">
      <c r="C3" s="1" t="s">
        <v>77</v>
      </c>
    </row>
    <row r="4" spans="1:14" x14ac:dyDescent="0.25">
      <c r="C4" t="s">
        <v>78</v>
      </c>
    </row>
    <row r="5" spans="1:14" x14ac:dyDescent="0.25">
      <c r="B5" t="s">
        <v>20</v>
      </c>
      <c r="C5" t="s">
        <v>79</v>
      </c>
    </row>
    <row r="6" spans="1:14" x14ac:dyDescent="0.25">
      <c r="B6" t="s">
        <v>21</v>
      </c>
      <c r="C6" t="s">
        <v>80</v>
      </c>
    </row>
    <row r="7" spans="1:14" x14ac:dyDescent="0.25">
      <c r="C7" t="s">
        <v>81</v>
      </c>
    </row>
    <row r="8" spans="1:14" x14ac:dyDescent="0.25">
      <c r="C8" t="s">
        <v>84</v>
      </c>
    </row>
    <row r="9" spans="1:14" x14ac:dyDescent="0.25">
      <c r="N9" s="2" t="s">
        <v>73</v>
      </c>
    </row>
    <row r="11" spans="1:14" x14ac:dyDescent="0.25">
      <c r="N11" s="2"/>
    </row>
    <row r="12" spans="1:14" x14ac:dyDescent="0.25">
      <c r="C12" t="s">
        <v>82</v>
      </c>
    </row>
  </sheetData>
  <hyperlinks>
    <hyperlink ref="N9" r:id="rId1" xr:uid="{3293F354-0F10-4D62-A773-CDF398EE08D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0CED-1E5A-4886-A35C-891C1CFA043D}">
  <dimension ref="A2:N9"/>
  <sheetViews>
    <sheetView workbookViewId="0">
      <selection activeCell="B8" sqref="B8"/>
    </sheetView>
  </sheetViews>
  <sheetFormatPr defaultRowHeight="15" x14ac:dyDescent="0.25"/>
  <cols>
    <col min="1" max="1" width="10" bestFit="1" customWidth="1"/>
    <col min="2" max="2" width="14.28515625" bestFit="1" customWidth="1"/>
    <col min="14" max="14" width="9.28515625" customWidth="1"/>
  </cols>
  <sheetData>
    <row r="2" spans="1:14" x14ac:dyDescent="0.25">
      <c r="A2" t="s">
        <v>4</v>
      </c>
      <c r="B2" t="s">
        <v>39</v>
      </c>
    </row>
    <row r="9" spans="1:14" x14ac:dyDescent="0.25">
      <c r="N9" s="2" t="s">
        <v>85</v>
      </c>
    </row>
  </sheetData>
  <hyperlinks>
    <hyperlink ref="N9" r:id="rId1" xr:uid="{4C4C8837-A558-4A72-9F13-E16B2E8E501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8ED7-EDCC-4C7A-8B2F-505B3255794B}">
  <dimension ref="A8:A10"/>
  <sheetViews>
    <sheetView workbookViewId="0">
      <selection activeCell="O34" sqref="O34"/>
    </sheetView>
  </sheetViews>
  <sheetFormatPr defaultRowHeight="15" x14ac:dyDescent="0.25"/>
  <sheetData>
    <row r="8" spans="1:1" x14ac:dyDescent="0.25">
      <c r="A8" s="2" t="s">
        <v>68</v>
      </c>
    </row>
    <row r="9" spans="1:1" x14ac:dyDescent="0.25">
      <c r="A9" s="2" t="s">
        <v>69</v>
      </c>
    </row>
    <row r="10" spans="1:1" x14ac:dyDescent="0.25">
      <c r="A10" s="2" t="s">
        <v>70</v>
      </c>
    </row>
  </sheetData>
  <hyperlinks>
    <hyperlink ref="A8" r:id="rId1" xr:uid="{F8CC9D20-2F1B-42EA-829C-F42D1DBE7B49}"/>
    <hyperlink ref="A9" r:id="rId2" xr:uid="{E35E8875-8170-45C6-80DE-E885F43DFAA1}"/>
    <hyperlink ref="A10" r:id="rId3" xr:uid="{AF1F8B06-4574-43CB-94D4-214F303F11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EV, drug and regal ph3</vt:lpstr>
      <vt:lpstr>AML ph2</vt:lpstr>
      <vt:lpstr>OCV-501 in AML</vt:lpstr>
      <vt:lpstr>gps in MPS</vt:lpstr>
      <vt:lpstr>gps in OC</vt:lpstr>
      <vt:lpstr>WT1 peptide vaccine in APDA</vt:lpstr>
      <vt:lpstr>WT1 peptide vaccine in OC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Gvozdenovic</dc:creator>
  <cp:lastModifiedBy>Josip Gvozdenovic</cp:lastModifiedBy>
  <dcterms:created xsi:type="dcterms:W3CDTF">2026-04-05T20:38:41Z</dcterms:created>
  <dcterms:modified xsi:type="dcterms:W3CDTF">2026-04-09T12:39:44Z</dcterms:modified>
</cp:coreProperties>
</file>